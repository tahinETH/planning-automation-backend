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yilmaz\Desktop\W35 Piston Plan\"/>
    </mc:Choice>
  </mc:AlternateContent>
  <xr:revisionPtr revIDLastSave="0" documentId="13_ncr:1_{EE0ABB35-95BF-4541-823C-887835437BCA}" xr6:coauthVersionLast="47" xr6:coauthVersionMax="47" xr10:uidLastSave="{00000000-0000-0000-0000-000000000000}"/>
  <bookViews>
    <workbookView xWindow="-120" yWindow="-120" windowWidth="29040" windowHeight="15720" xr2:uid="{17FD6234-008B-4F00-93A4-31F20000D650}"/>
  </bookViews>
  <sheets>
    <sheet name="Teslimat Planı" sheetId="1" r:id="rId1"/>
  </sheets>
  <definedNames>
    <definedName name="ADET">#REF!</definedName>
    <definedName name="data01" localSheetId="0">#REF!</definedName>
    <definedName name="data01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37" localSheetId="0">#REF!</definedName>
    <definedName name="DATA37">#REF!</definedName>
    <definedName name="DATA4" localSheetId="0">#REF!</definedName>
    <definedName name="DATA4">#REF!</definedName>
    <definedName name="data44" localSheetId="0">#REF!</definedName>
    <definedName name="data4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F00ZH40000" comment="K.G" localSheetId="0">#REF!</definedName>
    <definedName name="F00ZH40000" comment="K.G">#REF!</definedName>
    <definedName name="MAKO">#REF!</definedName>
    <definedName name="PROJE" localSheetId="0">#REF!</definedName>
    <definedName name="PROJE">#REF!</definedName>
    <definedName name="SFB" localSheetId="0">#REF!</definedName>
    <definedName name="SFB">#REF!</definedName>
    <definedName name="STOK" localSheetId="0">#REF!</definedName>
    <definedName name="STOK">#REF!</definedName>
    <definedName name="TanSFB" localSheetId="0">#REF!</definedName>
    <definedName name="TanSFB">#REF!</definedName>
    <definedName name="TEST1" localSheetId="0">#REF!</definedName>
    <definedName name="TEST1">#REF!</definedName>
    <definedName name="TEST10" localSheetId="0">#REF!</definedName>
    <definedName name="TEST10">#REF!</definedName>
    <definedName name="TEST11" localSheetId="0">#REF!</definedName>
    <definedName name="TEST11">#REF!</definedName>
    <definedName name="TEST12" localSheetId="0">#REF!</definedName>
    <definedName name="TEST12">#REF!</definedName>
    <definedName name="TEST13" localSheetId="0">#REF!</definedName>
    <definedName name="TEST13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5" localSheetId="0">#REF!</definedName>
    <definedName name="TEST5">#REF!</definedName>
    <definedName name="TEST6" localSheetId="0">#REF!</definedName>
    <definedName name="TEST6">#REF!</definedName>
    <definedName name="TEST7" localSheetId="0">#REF!</definedName>
    <definedName name="TEST7">#REF!</definedName>
    <definedName name="TEST8" localSheetId="0">#REF!</definedName>
    <definedName name="TEST8">#REF!</definedName>
    <definedName name="TEST9" localSheetId="0">#REF!</definedName>
    <definedName name="TEST9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x" localSheetId="0">#REF!</definedName>
    <definedName name="x">#REF!</definedName>
    <definedName name="xx" localSheetId="0">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1" l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R21" i="1" s="1"/>
  <c r="P22" i="1"/>
  <c r="R22" i="1" s="1"/>
  <c r="P23" i="1"/>
  <c r="R23" i="1" s="1"/>
  <c r="P24" i="1"/>
  <c r="R24" i="1" s="1"/>
  <c r="P25" i="1"/>
  <c r="R25" i="1" s="1"/>
  <c r="P26" i="1"/>
  <c r="R26" i="1" s="1"/>
  <c r="P27" i="1"/>
  <c r="R27" i="1" s="1"/>
  <c r="P28" i="1"/>
  <c r="R28" i="1" s="1"/>
  <c r="P29" i="1"/>
  <c r="R29" i="1" s="1"/>
  <c r="P30" i="1"/>
  <c r="R30" i="1" s="1"/>
  <c r="P31" i="1"/>
  <c r="R31" i="1" s="1"/>
  <c r="P32" i="1"/>
  <c r="R32" i="1" s="1"/>
  <c r="P33" i="1"/>
  <c r="R33" i="1" s="1"/>
  <c r="P34" i="1"/>
  <c r="R34" i="1" s="1"/>
  <c r="P7" i="1"/>
  <c r="C8" i="1"/>
  <c r="C9" i="1"/>
  <c r="C10" i="1"/>
  <c r="E10" i="1" s="1"/>
  <c r="C11" i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7" i="1"/>
  <c r="E11" i="1"/>
  <c r="E8" i="1"/>
  <c r="E9" i="1"/>
  <c r="Q50" i="1"/>
  <c r="C55" i="1" s="1"/>
  <c r="D50" i="1"/>
  <c r="C54" i="1" s="1"/>
  <c r="R49" i="1"/>
  <c r="E49" i="1"/>
  <c r="R48" i="1"/>
  <c r="E48" i="1"/>
  <c r="R47" i="1"/>
  <c r="E47" i="1"/>
  <c r="R46" i="1"/>
  <c r="E46" i="1"/>
  <c r="R45" i="1"/>
  <c r="E45" i="1"/>
  <c r="R44" i="1"/>
  <c r="E44" i="1"/>
  <c r="R43" i="1"/>
  <c r="R42" i="1"/>
  <c r="R41" i="1"/>
  <c r="R40" i="1"/>
  <c r="R39" i="1"/>
  <c r="R38" i="1"/>
  <c r="R37" i="1"/>
  <c r="R36" i="1"/>
  <c r="R35" i="1"/>
  <c r="P50" i="1" l="1"/>
  <c r="R7" i="1"/>
  <c r="C50" i="1"/>
  <c r="E7" i="1"/>
  <c r="C56" i="1"/>
  <c r="D55" i="1" l="1"/>
  <c r="R50" i="1"/>
  <c r="D54" i="1"/>
  <c r="E50" i="1"/>
  <c r="D56" i="1" l="1"/>
</calcChain>
</file>

<file path=xl/sharedStrings.xml><?xml version="1.0" encoding="utf-8"?>
<sst xmlns="http://schemas.openxmlformats.org/spreadsheetml/2006/main" count="166" uniqueCount="88">
  <si>
    <t>Güncelleme Tarihi</t>
  </si>
  <si>
    <t>Ürün Grubu:</t>
  </si>
  <si>
    <t>A2 Piston</t>
  </si>
  <si>
    <t>Center Pin</t>
  </si>
  <si>
    <t>Malzeme</t>
  </si>
  <si>
    <t>Plan Adet</t>
  </si>
  <si>
    <t>Fark</t>
  </si>
  <si>
    <t>MALZEME</t>
  </si>
  <si>
    <t>KW19</t>
  </si>
  <si>
    <t>KW20</t>
  </si>
  <si>
    <t>KW21</t>
  </si>
  <si>
    <t>KW22</t>
  </si>
  <si>
    <t>KW23</t>
  </si>
  <si>
    <t>R902745116</t>
  </si>
  <si>
    <t>R902719052</t>
  </si>
  <si>
    <t>R902745117</t>
  </si>
  <si>
    <t>R902719076</t>
  </si>
  <si>
    <t>R902745119</t>
  </si>
  <si>
    <t>R902719738</t>
  </si>
  <si>
    <t>R902745121</t>
  </si>
  <si>
    <t>R902719739</t>
  </si>
  <si>
    <t>R902745123</t>
  </si>
  <si>
    <t>R902719740</t>
  </si>
  <si>
    <t>R902745127</t>
  </si>
  <si>
    <t>R902719741</t>
  </si>
  <si>
    <t>R902745129</t>
  </si>
  <si>
    <t>R902719742</t>
  </si>
  <si>
    <t>R902745131</t>
  </si>
  <si>
    <t>R902719743</t>
  </si>
  <si>
    <t>R902745133</t>
  </si>
  <si>
    <t>R902719762</t>
  </si>
  <si>
    <t>R902745135</t>
  </si>
  <si>
    <t>R902719763</t>
  </si>
  <si>
    <t>R902745138</t>
  </si>
  <si>
    <t>R902719764</t>
  </si>
  <si>
    <t>R902747621</t>
  </si>
  <si>
    <t>R902719765</t>
  </si>
  <si>
    <t>R902745143</t>
  </si>
  <si>
    <t>R902719766</t>
  </si>
  <si>
    <t>R902745145</t>
  </si>
  <si>
    <t>R902719767</t>
  </si>
  <si>
    <t>R902745147</t>
  </si>
  <si>
    <t>R902719768</t>
  </si>
  <si>
    <t>R902745149</t>
  </si>
  <si>
    <t>R902725682</t>
  </si>
  <si>
    <t>R902719812</t>
  </si>
  <si>
    <t>R902970275</t>
  </si>
  <si>
    <t>R902729695</t>
  </si>
  <si>
    <t>R902970276</t>
  </si>
  <si>
    <t>R902729941</t>
  </si>
  <si>
    <t>R902745165</t>
  </si>
  <si>
    <t>R902744004</t>
  </si>
  <si>
    <t>R902745163</t>
  </si>
  <si>
    <t>R902747824</t>
  </si>
  <si>
    <t>R902745167</t>
  </si>
  <si>
    <t>R902748350</t>
  </si>
  <si>
    <t>R902970233</t>
  </si>
  <si>
    <t>R902970039</t>
  </si>
  <si>
    <t>R902745169</t>
  </si>
  <si>
    <t>R902970277</t>
  </si>
  <si>
    <t>R902747620</t>
  </si>
  <si>
    <t>R902970729</t>
  </si>
  <si>
    <t>R902745161</t>
  </si>
  <si>
    <t>R902970964</t>
  </si>
  <si>
    <t>R902970513</t>
  </si>
  <si>
    <t>R902974042</t>
  </si>
  <si>
    <t>R902970514</t>
  </si>
  <si>
    <t>R902200287</t>
  </si>
  <si>
    <t>R902970515</t>
  </si>
  <si>
    <t>R902375400</t>
  </si>
  <si>
    <t>R902970516</t>
  </si>
  <si>
    <t>R902970517</t>
  </si>
  <si>
    <t>R902970862</t>
  </si>
  <si>
    <t>R902970863</t>
  </si>
  <si>
    <t>R902974041</t>
  </si>
  <si>
    <t>R902972555</t>
  </si>
  <si>
    <t>R902972556</t>
  </si>
  <si>
    <t>R902972557</t>
  </si>
  <si>
    <t>Toplam</t>
  </si>
  <si>
    <t>Toplam A2</t>
  </si>
  <si>
    <t>Toplam CP</t>
  </si>
  <si>
    <t>Genel Toplam</t>
  </si>
  <si>
    <t>Bitiş Tarihi</t>
  </si>
  <si>
    <t>Başlangıç T.:</t>
  </si>
  <si>
    <t>Sipariş Adeti</t>
  </si>
  <si>
    <t>Plan</t>
  </si>
  <si>
    <t>Sipariş</t>
  </si>
  <si>
    <t>KW24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</si>
</sst>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Liberation Sans"/>
      <family val="2"/>
      <charset val="162"/>
    </font>
    <font>
      <b/>
      <sz val="11"/>
      <name val="Liberation Sans"/>
      <family val="2"/>
      <charset val="162"/>
    </font>
    <font>
      <b/>
      <sz val="11"/>
      <color theme="1"/>
      <name val="Liberation Sans"/>
      <family val="2"/>
      <charset val="162"/>
    </font>
    <font>
      <b/>
      <sz val="11"/>
      <color rgb="FFFF0000"/>
      <name val="Liberation Sans"/>
      <family val="2"/>
      <charset val="162"/>
    </font>
    <font>
      <sz val="8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 wrapText="1"/>
    </xf>
    <xf numFmtId="0" fontId="4" fillId="4" borderId="1" xfId="1" applyFont="1" applyFill="1" applyBorder="1" applyAlignment="1">
      <alignment horizontal="left" vertical="top" wrapText="1"/>
    </xf>
    <xf numFmtId="0" fontId="2" fillId="0" borderId="1" xfId="1" applyFont="1" applyBorder="1"/>
    <xf numFmtId="3" fontId="2" fillId="2" borderId="1" xfId="1" applyNumberFormat="1" applyFont="1" applyFill="1" applyBorder="1"/>
    <xf numFmtId="3" fontId="2" fillId="2" borderId="0" xfId="1" applyNumberFormat="1" applyFont="1" applyFill="1"/>
    <xf numFmtId="0" fontId="2" fillId="2" borderId="1" xfId="1" applyFont="1" applyFill="1" applyBorder="1"/>
    <xf numFmtId="3" fontId="2" fillId="0" borderId="1" xfId="1" applyNumberFormat="1" applyFont="1" applyBorder="1"/>
    <xf numFmtId="0" fontId="4" fillId="5" borderId="0" xfId="1" applyFont="1" applyFill="1"/>
    <xf numFmtId="3" fontId="4" fillId="5" borderId="0" xfId="1" applyNumberFormat="1" applyFont="1" applyFill="1"/>
    <xf numFmtId="3" fontId="5" fillId="5" borderId="0" xfId="1" applyNumberFormat="1" applyFont="1" applyFill="1"/>
    <xf numFmtId="0" fontId="1" fillId="2" borderId="0" xfId="1" applyFill="1"/>
    <xf numFmtId="0" fontId="2" fillId="6" borderId="0" xfId="1" applyFont="1" applyFill="1"/>
    <xf numFmtId="0" fontId="3" fillId="3" borderId="0" xfId="1" applyFont="1" applyFill="1" applyAlignment="1">
      <alignment horizontal="center" wrapText="1"/>
    </xf>
    <xf numFmtId="14" fontId="3" fillId="3" borderId="0" xfId="1" applyNumberFormat="1" applyFont="1" applyFill="1" applyAlignment="1">
      <alignment horizontal="center" vertical="center"/>
    </xf>
    <xf numFmtId="14" fontId="2" fillId="6" borderId="0" xfId="1" applyNumberFormat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4" fillId="7" borderId="1" xfId="1" applyFont="1" applyFill="1" applyBorder="1"/>
    <xf numFmtId="0" fontId="4" fillId="8" borderId="1" xfId="1" applyFont="1" applyFill="1" applyBorder="1"/>
    <xf numFmtId="0" fontId="4" fillId="8" borderId="1" xfId="1" applyFont="1" applyFill="1" applyBorder="1" applyAlignment="1">
      <alignment horizontal="center"/>
    </xf>
    <xf numFmtId="0" fontId="4" fillId="0" borderId="0" xfId="1" applyFont="1" applyFill="1" applyBorder="1" applyAlignment="1"/>
    <xf numFmtId="0" fontId="4" fillId="7" borderId="1" xfId="1" applyFont="1" applyFill="1" applyBorder="1" applyAlignment="1">
      <alignment horizontal="center"/>
    </xf>
    <xf numFmtId="0" fontId="2" fillId="3" borderId="0" xfId="1" applyFont="1" applyFill="1"/>
  </cellXfs>
  <cellStyles count="2">
    <cellStyle name="Normal" xfId="0" builtinId="0"/>
    <cellStyle name="Normal 10" xfId="1" xr:uid="{A5F9C934-D87D-43E4-B457-995013486D76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4B35-3796-400F-9513-26B38F846F48}">
  <sheetPr>
    <tabColor rgb="FF92D050"/>
  </sheetPr>
  <dimension ref="A1:Z56"/>
  <sheetViews>
    <sheetView tabSelected="1" zoomScale="85" zoomScaleNormal="85" workbookViewId="0">
      <selection activeCell="K4" sqref="K4"/>
    </sheetView>
  </sheetViews>
  <sheetFormatPr defaultColWidth="9.140625" defaultRowHeight="14.25" x14ac:dyDescent="0.2"/>
  <cols>
    <col min="1" max="1" width="4.7109375" style="1" customWidth="1"/>
    <col min="2" max="2" width="13.5703125" style="1" bestFit="1" customWidth="1"/>
    <col min="3" max="4" width="12.7109375" style="1" customWidth="1"/>
    <col min="5" max="5" width="9.42578125" style="1" bestFit="1" customWidth="1"/>
    <col min="6" max="6" width="3.7109375" style="1" customWidth="1"/>
    <col min="7" max="7" width="14.28515625" style="1" customWidth="1"/>
    <col min="8" max="11" width="8" style="1" customWidth="1"/>
    <col min="12" max="12" width="8.42578125" style="1" customWidth="1"/>
    <col min="13" max="13" width="7.7109375" style="1" customWidth="1"/>
    <col min="14" max="14" width="5.7109375" style="1" customWidth="1"/>
    <col min="15" max="15" width="13.5703125" style="1" bestFit="1" customWidth="1"/>
    <col min="16" max="17" width="12.7109375" style="1" customWidth="1"/>
    <col min="18" max="18" width="8" style="1" bestFit="1" customWidth="1"/>
    <col min="19" max="19" width="3.7109375" style="1" customWidth="1"/>
    <col min="20" max="20" width="13.42578125" style="1" bestFit="1" customWidth="1"/>
    <col min="21" max="26" width="7.85546875" style="1" customWidth="1"/>
    <col min="27" max="27" width="52.140625" style="1" customWidth="1"/>
    <col min="28" max="16384" width="9.140625" style="1"/>
  </cols>
  <sheetData>
    <row r="1" spans="1:26" ht="14.25" customHeight="1" x14ac:dyDescent="0.2">
      <c r="B1" s="14" t="s">
        <v>0</v>
      </c>
      <c r="C1" s="15">
        <v>46220</v>
      </c>
      <c r="G1" s="13" t="s">
        <v>83</v>
      </c>
      <c r="H1" s="16">
        <v>46235</v>
      </c>
      <c r="I1" s="16"/>
      <c r="J1" s="16"/>
    </row>
    <row r="2" spans="1:26" ht="14.25" customHeight="1" x14ac:dyDescent="0.2">
      <c r="B2" s="14"/>
      <c r="C2" s="15"/>
      <c r="G2" s="13" t="s">
        <v>82</v>
      </c>
      <c r="H2" s="16">
        <v>46265</v>
      </c>
      <c r="I2" s="17"/>
      <c r="J2" s="17"/>
    </row>
    <row r="3" spans="1:26" x14ac:dyDescent="0.2">
      <c r="A3" s="2"/>
    </row>
    <row r="4" spans="1:26" ht="15" x14ac:dyDescent="0.25">
      <c r="B4" s="18" t="s">
        <v>1</v>
      </c>
      <c r="C4" s="22" t="s">
        <v>2</v>
      </c>
      <c r="D4" s="22"/>
      <c r="E4" s="22"/>
      <c r="F4" s="21"/>
      <c r="O4" s="19" t="s">
        <v>1</v>
      </c>
      <c r="P4" s="20" t="s">
        <v>3</v>
      </c>
      <c r="Q4" s="20"/>
      <c r="R4" s="20"/>
    </row>
    <row r="6" spans="1:26" ht="30" x14ac:dyDescent="0.2">
      <c r="B6" s="3" t="s">
        <v>4</v>
      </c>
      <c r="C6" s="3" t="s">
        <v>5</v>
      </c>
      <c r="D6" s="3" t="s">
        <v>84</v>
      </c>
      <c r="E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87</v>
      </c>
      <c r="O6" s="3" t="s">
        <v>4</v>
      </c>
      <c r="P6" s="3" t="s">
        <v>5</v>
      </c>
      <c r="Q6" s="3" t="s">
        <v>84</v>
      </c>
      <c r="R6" s="3" t="s">
        <v>6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12</v>
      </c>
      <c r="Z6" s="3" t="s">
        <v>87</v>
      </c>
    </row>
    <row r="7" spans="1:26" x14ac:dyDescent="0.2">
      <c r="B7" s="4" t="s">
        <v>13</v>
      </c>
      <c r="C7" s="5">
        <f>SUM(H7:M7)</f>
        <v>3840</v>
      </c>
      <c r="D7" s="5">
        <v>5760</v>
      </c>
      <c r="E7" s="5">
        <f>C7-D7</f>
        <v>-1920</v>
      </c>
      <c r="G7" s="4" t="s">
        <v>13</v>
      </c>
      <c r="H7" s="4">
        <v>1920</v>
      </c>
      <c r="I7" s="4">
        <v>1920</v>
      </c>
      <c r="J7" s="4">
        <v>0</v>
      </c>
      <c r="K7" s="4">
        <v>0</v>
      </c>
      <c r="L7" s="4">
        <v>0</v>
      </c>
      <c r="M7" s="4"/>
      <c r="O7" s="7" t="s">
        <v>14</v>
      </c>
      <c r="P7" s="5">
        <f>SUM(U7:Z7)</f>
        <v>0</v>
      </c>
      <c r="Q7" s="5">
        <v>0</v>
      </c>
      <c r="R7" s="5">
        <f>P7-Q7</f>
        <v>0</v>
      </c>
      <c r="T7" s="7" t="s">
        <v>14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/>
    </row>
    <row r="8" spans="1:26" x14ac:dyDescent="0.2">
      <c r="B8" s="4" t="s">
        <v>15</v>
      </c>
      <c r="C8" s="5">
        <f>SUM(H8:M8)</f>
        <v>0</v>
      </c>
      <c r="D8" s="5">
        <v>0</v>
      </c>
      <c r="E8" s="5">
        <f>C8-D8</f>
        <v>0</v>
      </c>
      <c r="G8" s="4" t="s">
        <v>15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/>
      <c r="O8" s="4" t="s">
        <v>16</v>
      </c>
      <c r="P8" s="5">
        <f>SUM(U8:Z8)</f>
        <v>0</v>
      </c>
      <c r="Q8" s="5">
        <v>0</v>
      </c>
      <c r="R8" s="5">
        <f>P8-Q8</f>
        <v>0</v>
      </c>
      <c r="T8" s="7" t="s">
        <v>16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/>
    </row>
    <row r="9" spans="1:26" x14ac:dyDescent="0.2">
      <c r="B9" s="4" t="s">
        <v>17</v>
      </c>
      <c r="C9" s="5">
        <f>SUM(H9:M9)</f>
        <v>0</v>
      </c>
      <c r="D9" s="5">
        <v>0</v>
      </c>
      <c r="E9" s="5">
        <f>C9-D9</f>
        <v>0</v>
      </c>
      <c r="G9" s="4" t="s">
        <v>17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/>
      <c r="O9" s="4" t="s">
        <v>18</v>
      </c>
      <c r="P9" s="5">
        <f>SUM(U9:Z9)</f>
        <v>0</v>
      </c>
      <c r="Q9" s="5">
        <v>0</v>
      </c>
      <c r="R9" s="5">
        <f>P9-Q9</f>
        <v>0</v>
      </c>
      <c r="T9" s="7" t="s">
        <v>18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/>
    </row>
    <row r="10" spans="1:26" x14ac:dyDescent="0.2">
      <c r="B10" s="4" t="s">
        <v>19</v>
      </c>
      <c r="C10" s="5">
        <f>SUM(H10:M10)</f>
        <v>5940</v>
      </c>
      <c r="D10" s="5">
        <v>5940</v>
      </c>
      <c r="E10" s="5">
        <f>C10-D10</f>
        <v>0</v>
      </c>
      <c r="G10" s="4" t="s">
        <v>19</v>
      </c>
      <c r="H10" s="4">
        <v>1980</v>
      </c>
      <c r="I10" s="4">
        <v>1980</v>
      </c>
      <c r="J10" s="4">
        <v>1980</v>
      </c>
      <c r="K10" s="4">
        <v>0</v>
      </c>
      <c r="L10" s="4">
        <v>0</v>
      </c>
      <c r="M10" s="4"/>
      <c r="O10" s="4" t="s">
        <v>20</v>
      </c>
      <c r="P10" s="5">
        <f>SUM(U10:Z10)</f>
        <v>0</v>
      </c>
      <c r="Q10" s="5">
        <v>0</v>
      </c>
      <c r="R10" s="5">
        <f>P10-Q10</f>
        <v>0</v>
      </c>
      <c r="T10" s="7" t="s">
        <v>20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/>
    </row>
    <row r="11" spans="1:26" x14ac:dyDescent="0.2">
      <c r="B11" s="4" t="s">
        <v>21</v>
      </c>
      <c r="C11" s="5">
        <f>SUM(H11:M11)</f>
        <v>3960</v>
      </c>
      <c r="D11" s="5">
        <v>3960</v>
      </c>
      <c r="E11" s="5">
        <f>C11-D11</f>
        <v>0</v>
      </c>
      <c r="G11" s="4" t="s">
        <v>21</v>
      </c>
      <c r="H11" s="4">
        <v>0</v>
      </c>
      <c r="I11" s="4">
        <v>0</v>
      </c>
      <c r="J11" s="4">
        <v>1980</v>
      </c>
      <c r="K11" s="4">
        <v>1980</v>
      </c>
      <c r="L11" s="4">
        <v>0</v>
      </c>
      <c r="M11" s="4"/>
      <c r="O11" s="4" t="s">
        <v>22</v>
      </c>
      <c r="P11" s="5">
        <f>SUM(U11:Z11)</f>
        <v>1920</v>
      </c>
      <c r="Q11" s="5">
        <v>1920</v>
      </c>
      <c r="R11" s="5">
        <f>P11-Q11</f>
        <v>0</v>
      </c>
      <c r="T11" s="7" t="s">
        <v>22</v>
      </c>
      <c r="U11" s="4">
        <v>0</v>
      </c>
      <c r="V11" s="4">
        <v>0</v>
      </c>
      <c r="W11" s="4">
        <v>0</v>
      </c>
      <c r="X11" s="4">
        <v>1920</v>
      </c>
      <c r="Y11" s="4">
        <v>0</v>
      </c>
      <c r="Z11" s="4"/>
    </row>
    <row r="12" spans="1:26" x14ac:dyDescent="0.2">
      <c r="B12" s="4" t="s">
        <v>23</v>
      </c>
      <c r="C12" s="5">
        <f>SUM(H12:M12)</f>
        <v>7200</v>
      </c>
      <c r="D12" s="5">
        <v>7200</v>
      </c>
      <c r="E12" s="5">
        <f>C12-D12</f>
        <v>0</v>
      </c>
      <c r="G12" s="4" t="s">
        <v>23</v>
      </c>
      <c r="H12" s="4">
        <v>0</v>
      </c>
      <c r="I12" s="4">
        <v>2400</v>
      </c>
      <c r="J12" s="4">
        <v>2400</v>
      </c>
      <c r="K12" s="4">
        <v>2400</v>
      </c>
      <c r="L12" s="4">
        <v>0</v>
      </c>
      <c r="M12" s="4"/>
      <c r="O12" s="4" t="s">
        <v>24</v>
      </c>
      <c r="P12" s="5">
        <f>SUM(U12:Z12)</f>
        <v>1920</v>
      </c>
      <c r="Q12" s="5">
        <v>1920</v>
      </c>
      <c r="R12" s="5">
        <f>P12-Q12</f>
        <v>0</v>
      </c>
      <c r="T12" s="7" t="s">
        <v>24</v>
      </c>
      <c r="U12" s="4">
        <v>1920</v>
      </c>
      <c r="V12" s="4">
        <v>0</v>
      </c>
      <c r="W12" s="4">
        <v>0</v>
      </c>
      <c r="X12" s="4">
        <v>0</v>
      </c>
      <c r="Y12" s="4">
        <v>0</v>
      </c>
      <c r="Z12" s="4"/>
    </row>
    <row r="13" spans="1:26" x14ac:dyDescent="0.2">
      <c r="B13" s="4" t="s">
        <v>25</v>
      </c>
      <c r="C13" s="5">
        <f>SUM(H13:M13)</f>
        <v>0</v>
      </c>
      <c r="D13" s="5">
        <v>0</v>
      </c>
      <c r="E13" s="5">
        <f>C13-D13</f>
        <v>0</v>
      </c>
      <c r="G13" s="4" t="s">
        <v>25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/>
      <c r="O13" s="4" t="s">
        <v>26</v>
      </c>
      <c r="P13" s="5">
        <f>SUM(U13:Z13)</f>
        <v>0</v>
      </c>
      <c r="Q13" s="5">
        <v>0</v>
      </c>
      <c r="R13" s="5">
        <f>P13-Q13</f>
        <v>0</v>
      </c>
      <c r="T13" s="7" t="s">
        <v>26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/>
    </row>
    <row r="14" spans="1:26" x14ac:dyDescent="0.2">
      <c r="B14" s="4" t="s">
        <v>27</v>
      </c>
      <c r="C14" s="5">
        <f>SUM(H14:M14)</f>
        <v>11520</v>
      </c>
      <c r="D14" s="8">
        <v>9600</v>
      </c>
      <c r="E14" s="5">
        <f>C14-D14</f>
        <v>1920</v>
      </c>
      <c r="G14" s="4" t="s">
        <v>27</v>
      </c>
      <c r="H14" s="4">
        <v>3840</v>
      </c>
      <c r="I14" s="4">
        <v>1920</v>
      </c>
      <c r="J14" s="4">
        <v>1920</v>
      </c>
      <c r="K14" s="4">
        <v>1920</v>
      </c>
      <c r="L14" s="4">
        <v>1920</v>
      </c>
      <c r="M14" s="4"/>
      <c r="O14" s="4" t="s">
        <v>28</v>
      </c>
      <c r="P14" s="5">
        <f>SUM(U14:Z14)</f>
        <v>960</v>
      </c>
      <c r="Q14" s="5">
        <v>1920</v>
      </c>
      <c r="R14" s="5">
        <f>P14-Q14</f>
        <v>-960</v>
      </c>
      <c r="T14" s="7" t="s">
        <v>28</v>
      </c>
      <c r="U14" s="4">
        <v>0</v>
      </c>
      <c r="V14" s="4">
        <v>0</v>
      </c>
      <c r="W14" s="4">
        <v>960</v>
      </c>
      <c r="X14" s="4">
        <v>0</v>
      </c>
      <c r="Y14" s="4">
        <v>0</v>
      </c>
      <c r="Z14" s="4"/>
    </row>
    <row r="15" spans="1:26" x14ac:dyDescent="0.2">
      <c r="B15" s="4" t="s">
        <v>29</v>
      </c>
      <c r="C15" s="5">
        <f>SUM(H15:M15)</f>
        <v>0</v>
      </c>
      <c r="D15" s="5">
        <v>0</v>
      </c>
      <c r="E15" s="5">
        <f>C15-D15</f>
        <v>0</v>
      </c>
      <c r="G15" s="4" t="s">
        <v>29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/>
      <c r="O15" s="4" t="s">
        <v>30</v>
      </c>
      <c r="P15" s="5">
        <f>SUM(U15:Z15)</f>
        <v>0</v>
      </c>
      <c r="Q15" s="5">
        <v>0</v>
      </c>
      <c r="R15" s="5">
        <f>P15-Q15</f>
        <v>0</v>
      </c>
      <c r="T15" s="7" t="s">
        <v>30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/>
    </row>
    <row r="16" spans="1:26" x14ac:dyDescent="0.2">
      <c r="B16" s="4" t="s">
        <v>31</v>
      </c>
      <c r="C16" s="5">
        <f>SUM(H16:M16)</f>
        <v>1920</v>
      </c>
      <c r="D16" s="5">
        <v>1920</v>
      </c>
      <c r="E16" s="5">
        <f>C16-D16</f>
        <v>0</v>
      </c>
      <c r="G16" s="4" t="s">
        <v>31</v>
      </c>
      <c r="H16" s="4">
        <v>0</v>
      </c>
      <c r="I16" s="4">
        <v>0</v>
      </c>
      <c r="J16" s="4">
        <v>0</v>
      </c>
      <c r="K16" s="4">
        <v>1920</v>
      </c>
      <c r="L16" s="4">
        <v>0</v>
      </c>
      <c r="M16" s="4"/>
      <c r="O16" s="4" t="s">
        <v>32</v>
      </c>
      <c r="P16" s="5">
        <f>SUM(U16:Z16)</f>
        <v>0</v>
      </c>
      <c r="Q16" s="5">
        <v>0</v>
      </c>
      <c r="R16" s="5">
        <f>P16-Q16</f>
        <v>0</v>
      </c>
      <c r="T16" s="7" t="s">
        <v>32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/>
    </row>
    <row r="17" spans="2:26" x14ac:dyDescent="0.2">
      <c r="B17" s="4" t="s">
        <v>33</v>
      </c>
      <c r="C17" s="5">
        <f>SUM(H17:M17)</f>
        <v>1920</v>
      </c>
      <c r="D17" s="5">
        <v>1920</v>
      </c>
      <c r="E17" s="5">
        <f>C17-D17</f>
        <v>0</v>
      </c>
      <c r="G17" s="4" t="s">
        <v>33</v>
      </c>
      <c r="H17" s="4">
        <v>0</v>
      </c>
      <c r="I17" s="4">
        <v>1920</v>
      </c>
      <c r="J17" s="4">
        <v>0</v>
      </c>
      <c r="K17" s="4">
        <v>0</v>
      </c>
      <c r="L17" s="4">
        <v>0</v>
      </c>
      <c r="M17" s="4"/>
      <c r="O17" s="4" t="s">
        <v>34</v>
      </c>
      <c r="P17" s="5">
        <f>SUM(U17:Z17)</f>
        <v>0</v>
      </c>
      <c r="Q17" s="5">
        <v>0</v>
      </c>
      <c r="R17" s="5">
        <f>P17-Q17</f>
        <v>0</v>
      </c>
      <c r="T17" s="7" t="s">
        <v>34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/>
    </row>
    <row r="18" spans="2:26" x14ac:dyDescent="0.2">
      <c r="B18" s="4" t="s">
        <v>35</v>
      </c>
      <c r="C18" s="5">
        <f>SUM(H18:M18)</f>
        <v>0</v>
      </c>
      <c r="D18" s="5">
        <v>0</v>
      </c>
      <c r="E18" s="5">
        <f>C18-D18</f>
        <v>0</v>
      </c>
      <c r="G18" s="4" t="s">
        <v>35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/>
      <c r="O18" s="4" t="s">
        <v>36</v>
      </c>
      <c r="P18" s="5">
        <f>SUM(U18:Z18)</f>
        <v>0</v>
      </c>
      <c r="Q18" s="5">
        <v>0</v>
      </c>
      <c r="R18" s="5">
        <f>P18-Q18</f>
        <v>0</v>
      </c>
      <c r="T18" s="7" t="s">
        <v>36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/>
    </row>
    <row r="19" spans="2:26" x14ac:dyDescent="0.2">
      <c r="B19" s="4" t="s">
        <v>37</v>
      </c>
      <c r="C19" s="5">
        <f>SUM(H19:M19)</f>
        <v>7680</v>
      </c>
      <c r="D19" s="5">
        <v>7680</v>
      </c>
      <c r="E19" s="5">
        <f>C19-D19</f>
        <v>0</v>
      </c>
      <c r="G19" s="4" t="s">
        <v>37</v>
      </c>
      <c r="H19" s="4">
        <v>1920</v>
      </c>
      <c r="I19" s="4">
        <v>1920</v>
      </c>
      <c r="J19" s="4">
        <v>1920</v>
      </c>
      <c r="K19" s="4">
        <v>1920</v>
      </c>
      <c r="L19" s="4">
        <v>0</v>
      </c>
      <c r="M19" s="4"/>
      <c r="O19" s="4" t="s">
        <v>38</v>
      </c>
      <c r="P19" s="5">
        <f>SUM(U19:Z19)</f>
        <v>0</v>
      </c>
      <c r="Q19" s="5">
        <v>0</v>
      </c>
      <c r="R19" s="5">
        <f>P19-Q19</f>
        <v>0</v>
      </c>
      <c r="T19" s="7" t="s">
        <v>38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/>
    </row>
    <row r="20" spans="2:26" x14ac:dyDescent="0.2">
      <c r="B20" s="4" t="s">
        <v>39</v>
      </c>
      <c r="C20" s="5">
        <f>SUM(H20:M20)</f>
        <v>1920</v>
      </c>
      <c r="D20" s="5">
        <v>1920</v>
      </c>
      <c r="E20" s="5">
        <f>C20-D20</f>
        <v>0</v>
      </c>
      <c r="G20" s="4" t="s">
        <v>39</v>
      </c>
      <c r="H20" s="4">
        <v>0</v>
      </c>
      <c r="I20" s="4">
        <v>1920</v>
      </c>
      <c r="J20" s="4">
        <v>0</v>
      </c>
      <c r="K20" s="4">
        <v>0</v>
      </c>
      <c r="L20" s="4">
        <v>0</v>
      </c>
      <c r="M20" s="4"/>
      <c r="O20" s="4" t="s">
        <v>40</v>
      </c>
      <c r="P20" s="5">
        <f>SUM(U20:Z20)</f>
        <v>0</v>
      </c>
      <c r="Q20" s="5">
        <v>0</v>
      </c>
      <c r="R20" s="5">
        <f>P20-Q20</f>
        <v>0</v>
      </c>
      <c r="T20" s="7" t="s">
        <v>40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/>
    </row>
    <row r="21" spans="2:26" x14ac:dyDescent="0.2">
      <c r="B21" s="4" t="s">
        <v>41</v>
      </c>
      <c r="C21" s="5">
        <f>SUM(H21:M21)</f>
        <v>6400</v>
      </c>
      <c r="D21" s="5">
        <v>4800</v>
      </c>
      <c r="E21" s="5">
        <f>C21-D21</f>
        <v>1600</v>
      </c>
      <c r="G21" s="4" t="s">
        <v>41</v>
      </c>
      <c r="H21" s="4">
        <v>1600</v>
      </c>
      <c r="I21" s="4">
        <v>1600</v>
      </c>
      <c r="J21" s="4">
        <v>1600</v>
      </c>
      <c r="K21" s="4">
        <v>1600</v>
      </c>
      <c r="L21" s="4">
        <v>0</v>
      </c>
      <c r="M21" s="4"/>
      <c r="O21" s="4" t="s">
        <v>42</v>
      </c>
      <c r="P21" s="5">
        <f>SUM(U21:Z21)</f>
        <v>0</v>
      </c>
      <c r="Q21" s="5">
        <v>0</v>
      </c>
      <c r="R21" s="5">
        <f>P21-Q21</f>
        <v>0</v>
      </c>
      <c r="T21" s="7" t="s">
        <v>42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/>
    </row>
    <row r="22" spans="2:26" x14ac:dyDescent="0.2">
      <c r="B22" s="4" t="s">
        <v>43</v>
      </c>
      <c r="C22" s="5">
        <f>SUM(H22:M22)</f>
        <v>0</v>
      </c>
      <c r="D22" s="5">
        <v>0</v>
      </c>
      <c r="E22" s="5">
        <f>C22-D22</f>
        <v>0</v>
      </c>
      <c r="G22" s="4" t="s">
        <v>43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/>
      <c r="O22" s="4" t="s">
        <v>44</v>
      </c>
      <c r="P22" s="5">
        <f>SUM(U22:Z22)</f>
        <v>960</v>
      </c>
      <c r="Q22" s="5">
        <v>960</v>
      </c>
      <c r="R22" s="5">
        <f>P22-Q22</f>
        <v>0</v>
      </c>
      <c r="T22" s="7" t="s">
        <v>45</v>
      </c>
      <c r="U22" s="4">
        <v>0</v>
      </c>
      <c r="V22" s="4">
        <v>960</v>
      </c>
      <c r="W22" s="4">
        <v>0</v>
      </c>
      <c r="X22" s="4">
        <v>0</v>
      </c>
      <c r="Y22" s="4">
        <v>0</v>
      </c>
      <c r="Z22" s="4"/>
    </row>
    <row r="23" spans="2:26" x14ac:dyDescent="0.2">
      <c r="B23" s="4" t="s">
        <v>46</v>
      </c>
      <c r="C23" s="5">
        <f>SUM(H23:M23)</f>
        <v>9600</v>
      </c>
      <c r="D23" s="5">
        <v>9600</v>
      </c>
      <c r="E23" s="5">
        <f>C23-D23</f>
        <v>0</v>
      </c>
      <c r="G23" s="4" t="s">
        <v>46</v>
      </c>
      <c r="H23" s="4">
        <v>1920</v>
      </c>
      <c r="I23" s="4">
        <v>3840</v>
      </c>
      <c r="J23" s="4">
        <v>1920</v>
      </c>
      <c r="K23" s="4">
        <v>1920</v>
      </c>
      <c r="L23" s="4">
        <v>0</v>
      </c>
      <c r="M23" s="4"/>
      <c r="O23" s="4" t="s">
        <v>47</v>
      </c>
      <c r="P23" s="5">
        <f>SUM(U23:Z23)</f>
        <v>0</v>
      </c>
      <c r="Q23" s="5">
        <v>0</v>
      </c>
      <c r="R23" s="5">
        <f>P23-Q23</f>
        <v>0</v>
      </c>
      <c r="T23" s="7" t="s">
        <v>44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/>
    </row>
    <row r="24" spans="2:26" x14ac:dyDescent="0.2">
      <c r="B24" s="4" t="s">
        <v>48</v>
      </c>
      <c r="C24" s="5">
        <f>SUM(H24:M24)</f>
        <v>5760</v>
      </c>
      <c r="D24" s="5">
        <v>5760</v>
      </c>
      <c r="E24" s="5">
        <f>C24-D24</f>
        <v>0</v>
      </c>
      <c r="G24" s="4" t="s">
        <v>48</v>
      </c>
      <c r="H24" s="4">
        <v>0</v>
      </c>
      <c r="I24" s="4">
        <v>1920</v>
      </c>
      <c r="J24" s="4">
        <v>1920</v>
      </c>
      <c r="K24" s="4">
        <v>1920</v>
      </c>
      <c r="L24" s="4">
        <v>0</v>
      </c>
      <c r="M24" s="4"/>
      <c r="O24" s="4" t="s">
        <v>49</v>
      </c>
      <c r="P24" s="5">
        <f>SUM(U24:Z24)</f>
        <v>0</v>
      </c>
      <c r="Q24" s="5">
        <v>0</v>
      </c>
      <c r="R24" s="5">
        <f>P24-Q24</f>
        <v>0</v>
      </c>
      <c r="T24" s="7" t="s">
        <v>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/>
    </row>
    <row r="25" spans="2:26" x14ac:dyDescent="0.2">
      <c r="B25" s="4" t="s">
        <v>50</v>
      </c>
      <c r="C25" s="5">
        <f>SUM(H25:M25)</f>
        <v>0</v>
      </c>
      <c r="D25" s="5">
        <v>0</v>
      </c>
      <c r="E25" s="5">
        <f>C25-D25</f>
        <v>0</v>
      </c>
      <c r="G25" s="4" t="s">
        <v>50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/>
      <c r="O25" s="4" t="s">
        <v>51</v>
      </c>
      <c r="P25" s="5">
        <f>SUM(U25:Z25)</f>
        <v>0</v>
      </c>
      <c r="Q25" s="8">
        <v>0</v>
      </c>
      <c r="R25" s="5">
        <f>P25-Q25</f>
        <v>0</v>
      </c>
      <c r="T25" s="7" t="s">
        <v>49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/>
    </row>
    <row r="26" spans="2:26" x14ac:dyDescent="0.2">
      <c r="B26" s="4" t="s">
        <v>52</v>
      </c>
      <c r="C26" s="5">
        <f>SUM(H26:M26)</f>
        <v>1980</v>
      </c>
      <c r="D26" s="5">
        <v>1980</v>
      </c>
      <c r="E26" s="5">
        <f>C26-D26</f>
        <v>0</v>
      </c>
      <c r="G26" s="4" t="s">
        <v>52</v>
      </c>
      <c r="H26" s="4">
        <v>1980</v>
      </c>
      <c r="I26" s="4">
        <v>0</v>
      </c>
      <c r="J26" s="4">
        <v>0</v>
      </c>
      <c r="K26" s="4">
        <v>0</v>
      </c>
      <c r="L26" s="4">
        <v>0</v>
      </c>
      <c r="M26" s="4"/>
      <c r="O26" s="4" t="s">
        <v>53</v>
      </c>
      <c r="P26" s="5">
        <f>SUM(U26:Z26)</f>
        <v>3840</v>
      </c>
      <c r="Q26" s="8">
        <v>3840</v>
      </c>
      <c r="R26" s="5">
        <f>P26-Q26</f>
        <v>0</v>
      </c>
      <c r="T26" s="7" t="s">
        <v>51</v>
      </c>
      <c r="U26" s="4">
        <v>0</v>
      </c>
      <c r="V26" s="4">
        <v>1920</v>
      </c>
      <c r="W26" s="4">
        <v>1920</v>
      </c>
      <c r="X26" s="4">
        <v>0</v>
      </c>
      <c r="Y26" s="4">
        <v>0</v>
      </c>
      <c r="Z26" s="4"/>
    </row>
    <row r="27" spans="2:26" x14ac:dyDescent="0.2">
      <c r="B27" s="4" t="s">
        <v>54</v>
      </c>
      <c r="C27" s="5">
        <f>SUM(H27:M27)</f>
        <v>0</v>
      </c>
      <c r="D27" s="5">
        <v>0</v>
      </c>
      <c r="E27" s="5">
        <f>C27-D27</f>
        <v>0</v>
      </c>
      <c r="G27" s="4" t="s">
        <v>54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/>
      <c r="O27" s="4" t="s">
        <v>55</v>
      </c>
      <c r="P27" s="5">
        <f>SUM(U27:Z27)</f>
        <v>1920</v>
      </c>
      <c r="Q27" s="8">
        <v>1920</v>
      </c>
      <c r="R27" s="5">
        <f>P27-Q27</f>
        <v>0</v>
      </c>
      <c r="T27" s="7" t="s">
        <v>53</v>
      </c>
      <c r="U27" s="4">
        <v>1920</v>
      </c>
      <c r="V27" s="4">
        <v>0</v>
      </c>
      <c r="W27" s="4">
        <v>0</v>
      </c>
      <c r="X27" s="4">
        <v>0</v>
      </c>
      <c r="Y27" s="4">
        <v>0</v>
      </c>
      <c r="Z27" s="4"/>
    </row>
    <row r="28" spans="2:26" x14ac:dyDescent="0.2">
      <c r="B28" s="4" t="s">
        <v>56</v>
      </c>
      <c r="C28" s="5">
        <f>SUM(H28:M28)</f>
        <v>0</v>
      </c>
      <c r="D28" s="5">
        <v>0</v>
      </c>
      <c r="E28" s="5">
        <f>C28-D28</f>
        <v>0</v>
      </c>
      <c r="G28" s="4" t="s">
        <v>56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/>
      <c r="O28" s="4" t="s">
        <v>57</v>
      </c>
      <c r="P28" s="5">
        <f>SUM(U28:Z28)</f>
        <v>0</v>
      </c>
      <c r="Q28" s="8">
        <v>0</v>
      </c>
      <c r="R28" s="5">
        <f>P28-Q28</f>
        <v>0</v>
      </c>
      <c r="T28" s="7" t="s">
        <v>55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/>
    </row>
    <row r="29" spans="2:26" x14ac:dyDescent="0.2">
      <c r="B29" s="4" t="s">
        <v>58</v>
      </c>
      <c r="C29" s="5">
        <f>SUM(H29:M29)</f>
        <v>0</v>
      </c>
      <c r="D29" s="5">
        <v>0</v>
      </c>
      <c r="E29" s="5">
        <f>C29-D29</f>
        <v>0</v>
      </c>
      <c r="G29" s="4" t="s">
        <v>58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/>
      <c r="O29" s="4" t="s">
        <v>59</v>
      </c>
      <c r="P29" s="5">
        <f>SUM(U29:Z29)</f>
        <v>0</v>
      </c>
      <c r="Q29" s="8">
        <v>0</v>
      </c>
      <c r="R29" s="5">
        <f>P29-Q29</f>
        <v>0</v>
      </c>
      <c r="T29" s="7" t="s">
        <v>57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/>
    </row>
    <row r="30" spans="2:26" x14ac:dyDescent="0.2">
      <c r="B30" s="4" t="s">
        <v>60</v>
      </c>
      <c r="C30" s="5">
        <f>SUM(H30:M30)</f>
        <v>7920</v>
      </c>
      <c r="D30" s="5">
        <v>5940</v>
      </c>
      <c r="E30" s="5">
        <f>C30-D30</f>
        <v>1980</v>
      </c>
      <c r="G30" s="4" t="s">
        <v>60</v>
      </c>
      <c r="H30" s="4">
        <v>1980</v>
      </c>
      <c r="I30" s="4">
        <v>1980</v>
      </c>
      <c r="J30" s="4">
        <v>1980</v>
      </c>
      <c r="K30" s="4">
        <v>1980</v>
      </c>
      <c r="L30" s="4">
        <v>0</v>
      </c>
      <c r="M30" s="4"/>
      <c r="O30" s="4" t="s">
        <v>61</v>
      </c>
      <c r="P30" s="5">
        <f>SUM(U30:Z30)</f>
        <v>2000</v>
      </c>
      <c r="Q30" s="8">
        <v>2400</v>
      </c>
      <c r="R30" s="5">
        <f>P30-Q30</f>
        <v>-400</v>
      </c>
      <c r="T30" s="7" t="s">
        <v>59</v>
      </c>
      <c r="U30" s="4">
        <v>0</v>
      </c>
      <c r="V30" s="4">
        <v>2000</v>
      </c>
      <c r="W30" s="4">
        <v>0</v>
      </c>
      <c r="X30" s="4">
        <v>0</v>
      </c>
      <c r="Y30" s="4">
        <v>0</v>
      </c>
      <c r="Z30" s="4"/>
    </row>
    <row r="31" spans="2:26" x14ac:dyDescent="0.2">
      <c r="B31" s="4" t="s">
        <v>62</v>
      </c>
      <c r="C31" s="5">
        <f>SUM(H31:M31)</f>
        <v>5940</v>
      </c>
      <c r="D31" s="5">
        <v>5940</v>
      </c>
      <c r="E31" s="5">
        <f>C31-D31</f>
        <v>0</v>
      </c>
      <c r="G31" s="4" t="s">
        <v>62</v>
      </c>
      <c r="H31" s="4">
        <v>1980</v>
      </c>
      <c r="I31" s="4">
        <v>1980</v>
      </c>
      <c r="J31" s="4">
        <v>1980</v>
      </c>
      <c r="K31" s="4">
        <v>0</v>
      </c>
      <c r="L31" s="4">
        <v>0</v>
      </c>
      <c r="M31" s="4"/>
      <c r="O31" s="4" t="s">
        <v>63</v>
      </c>
      <c r="P31" s="5">
        <f>SUM(U31:Z31)</f>
        <v>0</v>
      </c>
      <c r="Q31" s="8">
        <v>0</v>
      </c>
      <c r="R31" s="5">
        <f>P31-Q31</f>
        <v>0</v>
      </c>
      <c r="T31" s="7" t="s">
        <v>61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/>
    </row>
    <row r="32" spans="2:26" x14ac:dyDescent="0.2">
      <c r="B32" s="4" t="s">
        <v>64</v>
      </c>
      <c r="C32" s="5">
        <f>SUM(H32:M32)</f>
        <v>1920</v>
      </c>
      <c r="D32" s="5">
        <v>3840</v>
      </c>
      <c r="E32" s="5">
        <f>C32-D32</f>
        <v>-1920</v>
      </c>
      <c r="G32" s="7" t="s">
        <v>64</v>
      </c>
      <c r="H32" s="4">
        <v>0</v>
      </c>
      <c r="I32" s="4">
        <v>1920</v>
      </c>
      <c r="J32" s="4">
        <v>0</v>
      </c>
      <c r="K32" s="4">
        <v>0</v>
      </c>
      <c r="L32" s="4">
        <v>0</v>
      </c>
      <c r="M32" s="4"/>
      <c r="O32" s="4" t="s">
        <v>65</v>
      </c>
      <c r="P32" s="5">
        <f>SUM(U32:Z32)</f>
        <v>0</v>
      </c>
      <c r="Q32" s="8">
        <v>0</v>
      </c>
      <c r="R32" s="5">
        <f>P32-Q32</f>
        <v>0</v>
      </c>
      <c r="T32" s="4" t="s">
        <v>63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/>
    </row>
    <row r="33" spans="2:26" x14ac:dyDescent="0.2">
      <c r="B33" s="4" t="s">
        <v>66</v>
      </c>
      <c r="C33" s="5">
        <f>SUM(H33:M33)</f>
        <v>1920</v>
      </c>
      <c r="D33" s="5">
        <v>1920</v>
      </c>
      <c r="E33" s="5">
        <f>C33-D33</f>
        <v>0</v>
      </c>
      <c r="G33" s="7" t="s">
        <v>66</v>
      </c>
      <c r="H33" s="4">
        <v>0</v>
      </c>
      <c r="I33" s="4">
        <v>0</v>
      </c>
      <c r="J33" s="4">
        <v>1920</v>
      </c>
      <c r="K33" s="4">
        <v>0</v>
      </c>
      <c r="L33" s="4">
        <v>0</v>
      </c>
      <c r="M33" s="4"/>
      <c r="O33" s="7" t="s">
        <v>67</v>
      </c>
      <c r="P33" s="5">
        <f>SUM(U33:Z33)</f>
        <v>0</v>
      </c>
      <c r="Q33" s="8">
        <v>0</v>
      </c>
      <c r="R33" s="5">
        <f>P33-Q33</f>
        <v>0</v>
      </c>
      <c r="T33" s="7" t="s">
        <v>65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/>
    </row>
    <row r="34" spans="2:26" x14ac:dyDescent="0.2">
      <c r="B34" s="4" t="s">
        <v>68</v>
      </c>
      <c r="C34" s="5">
        <f>SUM(H34:M34)</f>
        <v>0</v>
      </c>
      <c r="D34" s="5">
        <v>0</v>
      </c>
      <c r="E34" s="5">
        <f>C34-D34</f>
        <v>0</v>
      </c>
      <c r="G34" s="7" t="s">
        <v>68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/>
      <c r="O34" s="4" t="s">
        <v>69</v>
      </c>
      <c r="P34" s="5">
        <f>SUM(U34:Z34)</f>
        <v>450</v>
      </c>
      <c r="Q34" s="8">
        <v>450</v>
      </c>
      <c r="R34" s="5">
        <f>P34-Q34</f>
        <v>0</v>
      </c>
      <c r="T34" s="7" t="s">
        <v>69</v>
      </c>
      <c r="U34" s="4">
        <v>450</v>
      </c>
      <c r="V34" s="4">
        <v>0</v>
      </c>
      <c r="W34" s="4">
        <v>0</v>
      </c>
      <c r="X34" s="4">
        <v>0</v>
      </c>
      <c r="Y34" s="4">
        <v>0</v>
      </c>
      <c r="Z34" s="4"/>
    </row>
    <row r="35" spans="2:26" x14ac:dyDescent="0.2">
      <c r="B35" s="4" t="s">
        <v>70</v>
      </c>
      <c r="C35" s="5">
        <f>SUM(H35:M35)</f>
        <v>0</v>
      </c>
      <c r="D35" s="5">
        <v>0</v>
      </c>
      <c r="E35" s="5">
        <f>C35-D35</f>
        <v>0</v>
      </c>
      <c r="G35" s="7" t="s">
        <v>70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/>
      <c r="O35" s="7"/>
      <c r="P35" s="5"/>
      <c r="Q35" s="8"/>
      <c r="R35" s="5">
        <f>P35-Q35</f>
        <v>0</v>
      </c>
      <c r="T35" s="7"/>
      <c r="U35" s="4"/>
      <c r="V35" s="4"/>
      <c r="W35" s="4"/>
      <c r="X35" s="4"/>
      <c r="Y35" s="4"/>
      <c r="Z35" s="4"/>
    </row>
    <row r="36" spans="2:26" x14ac:dyDescent="0.2">
      <c r="B36" s="4" t="s">
        <v>71</v>
      </c>
      <c r="C36" s="5">
        <f>SUM(H36:M36)</f>
        <v>0</v>
      </c>
      <c r="D36" s="5">
        <v>0</v>
      </c>
      <c r="E36" s="5">
        <f>C36-D36</f>
        <v>0</v>
      </c>
      <c r="G36" s="7" t="s">
        <v>71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/>
      <c r="O36" s="7"/>
      <c r="P36" s="5"/>
      <c r="Q36" s="5"/>
      <c r="R36" s="5">
        <f>P36-Q36</f>
        <v>0</v>
      </c>
      <c r="T36" s="7"/>
      <c r="U36" s="4"/>
      <c r="V36" s="4"/>
      <c r="W36" s="4"/>
      <c r="X36" s="4"/>
      <c r="Y36" s="4"/>
      <c r="Z36" s="4"/>
    </row>
    <row r="37" spans="2:26" x14ac:dyDescent="0.2">
      <c r="B37" s="7" t="s">
        <v>72</v>
      </c>
      <c r="C37" s="5">
        <f>SUM(H37:M37)</f>
        <v>0</v>
      </c>
      <c r="D37" s="5">
        <v>0</v>
      </c>
      <c r="E37" s="5">
        <f>C37-D37</f>
        <v>0</v>
      </c>
      <c r="G37" s="7" t="s">
        <v>72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/>
      <c r="O37" s="7"/>
      <c r="P37" s="5"/>
      <c r="Q37" s="5"/>
      <c r="R37" s="5">
        <f>P37-Q37</f>
        <v>0</v>
      </c>
      <c r="T37" s="7"/>
      <c r="U37" s="4"/>
      <c r="V37" s="4"/>
      <c r="W37" s="4"/>
      <c r="X37" s="4"/>
      <c r="Y37" s="4"/>
      <c r="Z37" s="4"/>
    </row>
    <row r="38" spans="2:26" x14ac:dyDescent="0.2">
      <c r="B38" s="7" t="s">
        <v>73</v>
      </c>
      <c r="C38" s="5">
        <f>SUM(H38:M38)</f>
        <v>0</v>
      </c>
      <c r="D38" s="5">
        <v>0</v>
      </c>
      <c r="E38" s="5">
        <f>C38-D38</f>
        <v>0</v>
      </c>
      <c r="G38" s="7" t="s">
        <v>73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/>
      <c r="O38" s="7"/>
      <c r="P38" s="5"/>
      <c r="Q38" s="5"/>
      <c r="R38" s="5">
        <f>P38-Q38</f>
        <v>0</v>
      </c>
      <c r="T38" s="7"/>
      <c r="U38" s="4"/>
      <c r="V38" s="4"/>
      <c r="W38" s="4"/>
      <c r="X38" s="4"/>
      <c r="Y38" s="4"/>
      <c r="Z38" s="4"/>
    </row>
    <row r="39" spans="2:26" x14ac:dyDescent="0.2">
      <c r="B39" s="7" t="s">
        <v>74</v>
      </c>
      <c r="C39" s="5">
        <f>SUM(H39:M39)</f>
        <v>0</v>
      </c>
      <c r="D39" s="5">
        <v>0</v>
      </c>
      <c r="E39" s="5">
        <f>C39-D39</f>
        <v>0</v>
      </c>
      <c r="G39" s="7" t="s">
        <v>74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/>
      <c r="O39" s="7"/>
      <c r="P39" s="5"/>
      <c r="Q39" s="5"/>
      <c r="R39" s="5">
        <f>P39-Q39</f>
        <v>0</v>
      </c>
      <c r="T39" s="7"/>
      <c r="U39" s="4"/>
      <c r="V39" s="4"/>
      <c r="W39" s="4"/>
      <c r="X39" s="4"/>
      <c r="Y39" s="4"/>
      <c r="Z39" s="4"/>
    </row>
    <row r="40" spans="2:26" x14ac:dyDescent="0.2">
      <c r="B40" s="7" t="s">
        <v>75</v>
      </c>
      <c r="C40" s="5">
        <f>SUM(H40:M40)</f>
        <v>0</v>
      </c>
      <c r="D40" s="5">
        <v>0</v>
      </c>
      <c r="E40" s="5">
        <f>C40-D40</f>
        <v>0</v>
      </c>
      <c r="G40" s="7" t="s">
        <v>75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/>
      <c r="O40" s="7"/>
      <c r="P40" s="5"/>
      <c r="Q40" s="5"/>
      <c r="R40" s="5">
        <f>P40-Q40</f>
        <v>0</v>
      </c>
      <c r="T40" s="7"/>
      <c r="U40" s="4"/>
      <c r="V40" s="4"/>
      <c r="W40" s="4"/>
      <c r="X40" s="4"/>
      <c r="Y40" s="4"/>
      <c r="Z40" s="4"/>
    </row>
    <row r="41" spans="2:26" x14ac:dyDescent="0.2">
      <c r="B41" s="7" t="s">
        <v>76</v>
      </c>
      <c r="C41" s="5">
        <f>SUM(H41:M41)</f>
        <v>0</v>
      </c>
      <c r="D41" s="5">
        <v>0</v>
      </c>
      <c r="E41" s="5">
        <f>C41-D41</f>
        <v>0</v>
      </c>
      <c r="G41" s="7" t="s">
        <v>76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/>
      <c r="O41" s="7"/>
      <c r="P41" s="5"/>
      <c r="Q41" s="5"/>
      <c r="R41" s="5">
        <f>P41-Q41</f>
        <v>0</v>
      </c>
      <c r="T41" s="7"/>
      <c r="U41" s="4"/>
      <c r="V41" s="4"/>
      <c r="W41" s="4"/>
      <c r="X41" s="4"/>
      <c r="Y41" s="4"/>
      <c r="Z41" s="4"/>
    </row>
    <row r="42" spans="2:26" x14ac:dyDescent="0.2">
      <c r="B42" s="7" t="s">
        <v>45</v>
      </c>
      <c r="C42" s="5">
        <f>SUM(H42:M42)</f>
        <v>4000</v>
      </c>
      <c r="D42" s="5">
        <v>4000</v>
      </c>
      <c r="E42" s="5">
        <f>C42-D42</f>
        <v>0</v>
      </c>
      <c r="G42" s="7" t="s">
        <v>45</v>
      </c>
      <c r="H42" s="4">
        <v>0</v>
      </c>
      <c r="I42" s="4">
        <v>2000</v>
      </c>
      <c r="J42" s="4">
        <v>2000</v>
      </c>
      <c r="K42" s="4">
        <v>0</v>
      </c>
      <c r="L42" s="4">
        <v>0</v>
      </c>
      <c r="M42" s="4"/>
      <c r="O42" s="7"/>
      <c r="P42" s="5"/>
      <c r="Q42" s="8"/>
      <c r="R42" s="5">
        <f>P42-Q42</f>
        <v>0</v>
      </c>
      <c r="T42" s="7"/>
      <c r="U42" s="4"/>
      <c r="V42" s="4"/>
      <c r="W42" s="4"/>
      <c r="X42" s="4"/>
      <c r="Y42" s="4"/>
      <c r="Z42" s="4"/>
    </row>
    <row r="43" spans="2:26" x14ac:dyDescent="0.2">
      <c r="B43" s="7" t="s">
        <v>77</v>
      </c>
      <c r="C43" s="5">
        <f>SUM(H43:M43)</f>
        <v>0</v>
      </c>
      <c r="D43" s="5">
        <v>0</v>
      </c>
      <c r="E43" s="5">
        <f>C43-D43</f>
        <v>0</v>
      </c>
      <c r="G43" s="7" t="s">
        <v>77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/>
      <c r="O43" s="7"/>
      <c r="P43" s="5"/>
      <c r="Q43" s="5"/>
      <c r="R43" s="5">
        <f>P43-Q43</f>
        <v>0</v>
      </c>
      <c r="T43" s="7"/>
      <c r="U43" s="4"/>
      <c r="V43" s="4"/>
      <c r="W43" s="4"/>
      <c r="X43" s="4"/>
      <c r="Y43" s="4"/>
      <c r="Z43" s="4"/>
    </row>
    <row r="44" spans="2:26" x14ac:dyDescent="0.2">
      <c r="B44" s="7"/>
      <c r="C44" s="5"/>
      <c r="D44" s="5"/>
      <c r="E44" s="5">
        <f>C44-D44</f>
        <v>0</v>
      </c>
      <c r="G44" s="7"/>
      <c r="H44" s="4"/>
      <c r="I44" s="4"/>
      <c r="J44" s="4"/>
      <c r="K44" s="4"/>
      <c r="L44" s="4"/>
      <c r="M44" s="4"/>
      <c r="O44" s="7"/>
      <c r="P44" s="5"/>
      <c r="Q44" s="5"/>
      <c r="R44" s="5">
        <f>P44-Q44</f>
        <v>0</v>
      </c>
      <c r="T44" s="7"/>
      <c r="U44" s="4"/>
      <c r="V44" s="4"/>
      <c r="W44" s="4"/>
      <c r="X44" s="4"/>
      <c r="Y44" s="4"/>
      <c r="Z44" s="4"/>
    </row>
    <row r="45" spans="2:26" x14ac:dyDescent="0.2">
      <c r="B45" s="7"/>
      <c r="C45" s="5"/>
      <c r="D45" s="5"/>
      <c r="E45" s="5">
        <f>C45-D45</f>
        <v>0</v>
      </c>
      <c r="G45" s="7"/>
      <c r="H45" s="4"/>
      <c r="I45" s="4"/>
      <c r="J45" s="4"/>
      <c r="K45" s="4"/>
      <c r="L45" s="4"/>
      <c r="M45" s="4"/>
      <c r="O45" s="7"/>
      <c r="P45" s="5"/>
      <c r="Q45" s="5"/>
      <c r="R45" s="5">
        <f>P45-Q45</f>
        <v>0</v>
      </c>
      <c r="T45" s="7"/>
      <c r="U45" s="4"/>
      <c r="V45" s="4"/>
      <c r="W45" s="4"/>
      <c r="X45" s="4"/>
      <c r="Y45" s="4"/>
      <c r="Z45" s="4"/>
    </row>
    <row r="46" spans="2:26" x14ac:dyDescent="0.2">
      <c r="B46" s="7"/>
      <c r="C46" s="5"/>
      <c r="D46" s="5"/>
      <c r="E46" s="5">
        <f>C46-D46</f>
        <v>0</v>
      </c>
      <c r="G46" s="7"/>
      <c r="H46" s="4"/>
      <c r="I46" s="4"/>
      <c r="J46" s="4"/>
      <c r="K46" s="4"/>
      <c r="L46" s="4"/>
      <c r="M46" s="4"/>
      <c r="O46" s="7"/>
      <c r="P46" s="5"/>
      <c r="Q46" s="5"/>
      <c r="R46" s="5">
        <f>P46-Q46</f>
        <v>0</v>
      </c>
      <c r="T46" s="7"/>
      <c r="U46" s="4"/>
      <c r="V46" s="4"/>
      <c r="W46" s="4"/>
      <c r="X46" s="4"/>
      <c r="Y46" s="4"/>
      <c r="Z46" s="4"/>
    </row>
    <row r="47" spans="2:26" x14ac:dyDescent="0.2">
      <c r="B47" s="7"/>
      <c r="C47" s="5"/>
      <c r="D47" s="5"/>
      <c r="E47" s="5">
        <f>C47-D47</f>
        <v>0</v>
      </c>
      <c r="G47" s="7"/>
      <c r="H47" s="4"/>
      <c r="I47" s="4"/>
      <c r="J47" s="4"/>
      <c r="K47" s="4"/>
      <c r="L47" s="4"/>
      <c r="M47" s="4"/>
      <c r="O47" s="7"/>
      <c r="P47" s="5"/>
      <c r="Q47" s="5"/>
      <c r="R47" s="5">
        <f>P47-Q47</f>
        <v>0</v>
      </c>
      <c r="T47" s="7"/>
      <c r="U47" s="4"/>
      <c r="V47" s="4"/>
      <c r="W47" s="4"/>
      <c r="X47" s="4"/>
      <c r="Y47" s="4"/>
      <c r="Z47" s="4"/>
    </row>
    <row r="48" spans="2:26" x14ac:dyDescent="0.2">
      <c r="B48" s="7"/>
      <c r="C48" s="5"/>
      <c r="D48" s="5"/>
      <c r="E48" s="5">
        <f>C48-D48</f>
        <v>0</v>
      </c>
      <c r="G48" s="7"/>
      <c r="H48" s="4"/>
      <c r="I48" s="4"/>
      <c r="J48" s="4"/>
      <c r="K48" s="4"/>
      <c r="L48" s="4"/>
      <c r="M48" s="4"/>
      <c r="O48" s="7"/>
      <c r="P48" s="5"/>
      <c r="Q48" s="5"/>
      <c r="R48" s="5">
        <f>P48-Q48</f>
        <v>0</v>
      </c>
      <c r="T48" s="7"/>
      <c r="U48" s="4"/>
      <c r="V48" s="4"/>
      <c r="W48" s="4"/>
      <c r="X48" s="4"/>
      <c r="Y48" s="4"/>
      <c r="Z48" s="4"/>
    </row>
    <row r="49" spans="2:26" x14ac:dyDescent="0.2">
      <c r="B49" s="7"/>
      <c r="C49" s="5"/>
      <c r="D49" s="5"/>
      <c r="E49" s="5">
        <f>C49-D49</f>
        <v>0</v>
      </c>
      <c r="G49" s="7"/>
      <c r="H49" s="4"/>
      <c r="I49" s="4"/>
      <c r="J49" s="4"/>
      <c r="K49" s="4"/>
      <c r="L49" s="4"/>
      <c r="M49" s="4"/>
      <c r="O49" s="7"/>
      <c r="P49" s="5"/>
      <c r="Q49" s="8"/>
      <c r="R49" s="5">
        <f>P49-Q49</f>
        <v>0</v>
      </c>
      <c r="T49" s="7"/>
      <c r="U49" s="4"/>
      <c r="V49" s="4"/>
      <c r="W49" s="4"/>
      <c r="X49" s="4"/>
      <c r="Y49" s="4"/>
      <c r="Z49" s="4"/>
    </row>
    <row r="50" spans="2:26" ht="15" x14ac:dyDescent="0.25">
      <c r="B50" s="9" t="s">
        <v>78</v>
      </c>
      <c r="C50" s="10">
        <f>SUM(C7:C49)</f>
        <v>91340</v>
      </c>
      <c r="D50" s="10">
        <f>SUM(D7:D49)</f>
        <v>89680</v>
      </c>
      <c r="E50" s="11">
        <f>C50-D50</f>
        <v>1660</v>
      </c>
      <c r="I50" s="6"/>
      <c r="J50" s="6"/>
      <c r="K50" s="6"/>
      <c r="L50" s="6"/>
      <c r="M50" s="6"/>
      <c r="N50" s="6"/>
      <c r="O50" s="9" t="s">
        <v>78</v>
      </c>
      <c r="P50" s="10">
        <f>SUM(P7:P49)</f>
        <v>13970</v>
      </c>
      <c r="Q50" s="10">
        <f>SUM(Q7:Q49)</f>
        <v>15330</v>
      </c>
      <c r="R50" s="11">
        <f>P50-Q50</f>
        <v>-1360</v>
      </c>
    </row>
    <row r="51" spans="2:26" x14ac:dyDescent="0.2">
      <c r="F51" s="6"/>
      <c r="G51" s="6"/>
      <c r="H51" s="6"/>
      <c r="I51" s="6"/>
      <c r="J51" s="6"/>
      <c r="K51" s="6"/>
    </row>
    <row r="52" spans="2:26" ht="15" x14ac:dyDescent="0.25">
      <c r="F52" s="6"/>
      <c r="G52" s="6"/>
      <c r="H52" s="6"/>
      <c r="I52" s="6"/>
      <c r="J52" s="6"/>
      <c r="K52" s="6"/>
      <c r="O52" s="12"/>
      <c r="P52" s="12"/>
      <c r="Q52" s="12"/>
      <c r="R52" s="12"/>
    </row>
    <row r="53" spans="2:26" x14ac:dyDescent="0.2">
      <c r="C53" s="23" t="s">
        <v>86</v>
      </c>
      <c r="D53" s="23" t="s">
        <v>85</v>
      </c>
      <c r="G53" s="6"/>
      <c r="H53" s="6"/>
      <c r="I53" s="6"/>
      <c r="J53" s="6"/>
      <c r="K53" s="6"/>
    </row>
    <row r="54" spans="2:26" ht="15" x14ac:dyDescent="0.25">
      <c r="B54" s="9" t="s">
        <v>79</v>
      </c>
      <c r="C54" s="10">
        <f>D50</f>
        <v>89680</v>
      </c>
      <c r="D54" s="10">
        <f>C50</f>
        <v>91340</v>
      </c>
      <c r="G54" s="6"/>
      <c r="H54" s="6"/>
      <c r="I54" s="6"/>
      <c r="J54" s="6"/>
      <c r="K54" s="6"/>
    </row>
    <row r="55" spans="2:26" ht="15" x14ac:dyDescent="0.25">
      <c r="B55" s="9" t="s">
        <v>80</v>
      </c>
      <c r="C55" s="10">
        <f>Q50</f>
        <v>15330</v>
      </c>
      <c r="D55" s="10">
        <f>P50</f>
        <v>13970</v>
      </c>
    </row>
    <row r="56" spans="2:26" ht="15" x14ac:dyDescent="0.25">
      <c r="B56" s="9" t="s">
        <v>81</v>
      </c>
      <c r="C56" s="10">
        <f>C55+C54</f>
        <v>105010</v>
      </c>
      <c r="D56" s="10">
        <f>D54+D55</f>
        <v>105310</v>
      </c>
    </row>
  </sheetData>
  <mergeCells count="6">
    <mergeCell ref="P4:R4"/>
    <mergeCell ref="B1:B2"/>
    <mergeCell ref="C1:C2"/>
    <mergeCell ref="C4:E4"/>
    <mergeCell ref="H2:J2"/>
    <mergeCell ref="H1:J1"/>
  </mergeCells>
  <phoneticPr fontId="6" type="noConversion"/>
  <conditionalFormatting sqref="R7:R49 F51:F52 G51:K56 I50:N50 E7:E4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Teslimat Planı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 Yılmaz | SELSA</dc:creator>
  <cp:lastModifiedBy>Necati Yılmaz | SELSA</cp:lastModifiedBy>
  <dcterms:created xsi:type="dcterms:W3CDTF">2026-07-17T11:27:20Z</dcterms:created>
  <dcterms:modified xsi:type="dcterms:W3CDTF">2026-07-17T12:35:45Z</dcterms:modified>
</cp:coreProperties>
</file>